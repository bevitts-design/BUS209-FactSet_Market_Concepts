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bethanyevittsair2/Documents/GitHub/BUS209-FactSet_Market_Concepts/"/>
    </mc:Choice>
  </mc:AlternateContent>
  <xr:revisionPtr revIDLastSave="0" documentId="13_ncr:1_{08FD72A0-9850-6F4E-9DDE-34CBA5058CEC}" xr6:coauthVersionLast="47" xr6:coauthVersionMax="47" xr10:uidLastSave="{00000000-0000-0000-0000-000000000000}"/>
  <bookViews>
    <workbookView xWindow="880" yWindow="580" windowWidth="19540" windowHeight="15100" xr2:uid="{0B538CD7-3D8B-474E-B011-70C4BFC13367}"/>
  </bookViews>
  <sheets>
    <sheet name="Portfolio Allocation" sheetId="1" r:id="rId1"/>
    <sheet name="FactSet Upload"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 i="2" l="1"/>
  <c r="A2" i="2"/>
  <c r="A3" i="2"/>
  <c r="A4" i="2"/>
  <c r="A5" i="2"/>
  <c r="A6" i="2"/>
  <c r="A7" i="2"/>
  <c r="A8" i="2"/>
  <c r="A9" i="2"/>
  <c r="A10" i="2"/>
  <c r="E7" i="1" a="1"/>
  <c r="E7" i="1" s="1"/>
  <c r="E8" i="1" a="1"/>
  <c r="E8" i="1" s="1"/>
  <c r="E9" i="1" a="1"/>
  <c r="E9" i="1" s="1"/>
  <c r="E10" i="1" a="1"/>
  <c r="E10" i="1" s="1"/>
  <c r="E11" i="1" a="1"/>
  <c r="E11" i="1" s="1"/>
  <c r="E12" i="1" a="1"/>
  <c r="E12" i="1" s="1"/>
  <c r="E13" i="1" a="1"/>
  <c r="E13" i="1" s="1"/>
  <c r="E14" i="1" a="1"/>
  <c r="E14" i="1" s="1"/>
  <c r="E15" i="1" a="1"/>
  <c r="E15" i="1" s="1"/>
  <c r="E2" i="1"/>
  <c r="E3" i="1" s="1"/>
  <c r="E6" i="1" a="1"/>
  <c r="E6" i="1" s="1"/>
  <c r="B6" i="1" l="1"/>
  <c r="B1" i="2" s="1"/>
  <c r="B10" i="1"/>
  <c r="B5" i="2" s="1"/>
  <c r="B12" i="1"/>
  <c r="B7" i="2" s="1"/>
  <c r="B9" i="1"/>
  <c r="B4" i="2" s="1"/>
  <c r="B15" i="1"/>
  <c r="B10" i="2" s="1"/>
  <c r="B14" i="1"/>
  <c r="B9" i="2" s="1"/>
  <c r="B13" i="1"/>
  <c r="B8" i="2" s="1"/>
  <c r="B11" i="1"/>
  <c r="B6" i="2" s="1"/>
  <c r="B8" i="1"/>
  <c r="B3" i="2" s="1"/>
  <c r="B7" i="1"/>
  <c r="B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0"/>
        </ext>
      </extLst>
    </bk>
    <bk>
      <extLst>
        <ext uri="{3e2802c4-a4d2-4d8b-9148-e3be6c30e623}">
          <xlrd:rvb i="23"/>
        </ext>
      </extLst>
    </bk>
    <bk>
      <extLst>
        <ext uri="{3e2802c4-a4d2-4d8b-9148-e3be6c30e623}">
          <xlrd:rvb i="25"/>
        </ext>
      </extLst>
    </bk>
    <bk>
      <extLst>
        <ext uri="{3e2802c4-a4d2-4d8b-9148-e3be6c30e623}">
          <xlrd:rvb i="28"/>
        </ext>
      </extLst>
    </bk>
    <bk>
      <extLst>
        <ext uri="{3e2802c4-a4d2-4d8b-9148-e3be6c30e623}">
          <xlrd:rvb i="31"/>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sharedStrings.xml><?xml version="1.0" encoding="utf-8"?>
<sst xmlns="http://schemas.openxmlformats.org/spreadsheetml/2006/main" count="17" uniqueCount="16">
  <si>
    <t>Stock</t>
  </si>
  <si>
    <t>Shares</t>
  </si>
  <si>
    <t>MSFT</t>
  </si>
  <si>
    <t>WMT</t>
  </si>
  <si>
    <t>AAPL</t>
  </si>
  <si>
    <t>BAC</t>
  </si>
  <si>
    <t>NVDA</t>
  </si>
  <si>
    <t>GEV</t>
  </si>
  <si>
    <t>VTI</t>
  </si>
  <si>
    <t>SPY</t>
  </si>
  <si>
    <t>AVGO</t>
  </si>
  <si>
    <t>SPCX</t>
  </si>
  <si>
    <t>Total Portfolio</t>
  </si>
  <si>
    <t>Count of Stocks</t>
  </si>
  <si>
    <t>Allocation per Stock</t>
  </si>
  <si>
    <t>Factset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</si>
</sst>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_([$$-409]* #,##0.00_);_([$$-409]* \(#,##0.00\);_([$$-409]* &quot;-&quot;??_);_(@_)"/>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6" fontId="0" fillId="0" borderId="0" xfId="0" applyNumberFormat="1"/>
    <xf numFmtId="0" fontId="0" fillId="0" borderId="0" xfId="0" applyNumberFormat="1"/>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2">
  <rv s="0">
    <v>http://en.wikipedia.org/wiki/Public_domain</v>
    <v>Public domain</v>
  </rv>
  <rv s="0">
    <v>https://en.wikipedia.org/wiki/Microsoft</v>
    <v>Wikipedia</v>
  </rv>
  <rv s="1">
    <v>0</v>
    <v>1</v>
  </rv>
  <rv s="2">
    <v>6</v>
    <v>https://www.bing.com/th?id=AMMS_e6e837c7bf3a77408619758b7447855a&amp;qlt=95</v>
    <v>2</v>
    <v>0</v>
    <v>https://www.bing.com/images/search?form=xlimg&amp;q=microsoft</v>
    <v>Image of MICROSOFT CORPORATION</v>
  </rv>
  <rv s="0">
    <v>https://www.bing.com/financeapi/forcetrigger?t=a1xzim&amp;q=XNAS%3aMSFT&amp;form=skydnc</v>
    <v>Learn more on Bing</v>
  </rv>
  <rv s="3">
    <v>0</v>
    <v>MICROSOFT CORPORATION (XNAS:MSFT)</v>
    <v>3</v>
    <v>4</v>
    <v>Finance</v>
    <v>5</v>
    <v>en-US</v>
    <v>a1xzim</v>
    <v>268435456</v>
    <v>1</v>
    <v>Powered by Refinitiv</v>
    <v>553.72</v>
    <v>349.2</v>
    <v>1.1029</v>
    <v>-4.24</v>
    <v>-8.5179999999999995E-3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498.65</v>
    <v>3</v>
    <v>Software &amp; IT Services</v>
    <v>Stock</v>
    <v>46283.678939039062</v>
    <v>4</v>
    <v>491.1</v>
    <v>3664580712950</v>
    <v>MICROSOFT CORPORATION</v>
    <v>MICROSOFT CORPORATION</v>
    <v>498.65</v>
    <v>27.4986</v>
    <v>497.75</v>
    <v>493.51</v>
    <v>7425545000</v>
    <v>MSFT</v>
    <v>MICROSOFT CORPORATION (XNAS:MSFT)</v>
    <v>9991454</v>
    <v>20577012</v>
    <v>1993</v>
  </rv>
  <rv s="4">
    <v>5</v>
  </rv>
  <rv s="0">
    <v>https://www.bing.com/financeapi/forcetrigger?t=a25ya2&amp;q=XNYS%3aWMT&amp;form=skydnc</v>
    <v>Learn more on Bing</v>
  </rv>
  <rv s="5">
    <v>7</v>
    <v>WALMART INC. (XNAS:WMT)</v>
    <v>8</v>
    <v>9</v>
    <v>Finance</v>
    <v>5</v>
    <v>en-US</v>
    <v>a25ya2</v>
    <v>268435456</v>
    <v>1</v>
    <v>Powered by Refinitiv</v>
    <v>135.155</v>
    <v>98.88</v>
    <v>0.57410000000000005</v>
    <v>0.71750000000000003</v>
    <v>6.7190000000000001E-3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as well as eCommerce, which includes omnichannel initiatives. The Sam's Club U.S. segment includes the warehouse membership clubs in the U.S., as well as eCommerce, which includes omnichannel initiatives.</v>
    <v>2100000</v>
    <v>Nasdaq Stock Market</v>
    <v>XNAS</v>
    <v>XNAS</v>
    <v>1 Customer Drive, BENTONVILLE, AR, 72716 US</v>
    <v>107.71</v>
    <v>Food &amp; Drug Retailing</v>
    <v>Stock</v>
    <v>46283.678898390623</v>
    <v>7</v>
    <v>106.53</v>
    <v>852937198095</v>
    <v>WALMART INC.</v>
    <v>WALMART INC.</v>
    <v>106.74</v>
    <v>38.950600000000001</v>
    <v>106.79</v>
    <v>107.50749999999999</v>
    <v>7933746000</v>
    <v>WMT</v>
    <v>WALMART INC. (XNAS:WMT)</v>
    <v>11546020</v>
    <v>26011261</v>
    <v>1969</v>
  </rv>
  <rv s="4">
    <v>8</v>
  </rv>
  <rv s="0">
    <v>https://www.bing.com/financeapi/forcetrigger?t=a1mou2&amp;q=XNAS%3aAAPL&amp;form=skydnc</v>
    <v>Learn more on Bing</v>
  </rv>
  <rv s="5">
    <v>7</v>
    <v>APPLE INC. (XNAS:AAPL)</v>
    <v>8</v>
    <v>9</v>
    <v>Finance</v>
    <v>5</v>
    <v>en-US</v>
    <v>a1mou2</v>
    <v>268435456</v>
    <v>1</v>
    <v>Powered by Refinitiv</v>
    <v>344.56990000000002</v>
    <v>236.65</v>
    <v>1.0662</v>
    <v>-2.35</v>
    <v>-6.973E-3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338.49</v>
    <v>Computers, Phones &amp; Household Electronics</v>
    <v>Stock</v>
    <v>46283.678919235936</v>
    <v>10</v>
    <v>332.53</v>
    <v>4883942337000</v>
    <v>APPLE INC.</v>
    <v>APPLE INC.</v>
    <v>338.35</v>
    <v>38.507100000000001</v>
    <v>337</v>
    <v>334.65</v>
    <v>14594180000</v>
    <v>AAPL</v>
    <v>APPLE INC. (XNAS:AAPL)</v>
    <v>22066821</v>
    <v>41388568</v>
    <v>1977</v>
  </rv>
  <rv s="4">
    <v>11</v>
  </rv>
  <rv s="0">
    <v>https://www.bing.com/financeapi/forcetrigger?t=a1o4sm&amp;q=XNYS%3aBAC&amp;form=skydnc</v>
    <v>Learn more on Bing</v>
  </rv>
  <rv s="5">
    <v>7</v>
    <v>BANK OF AMERICA CORPORATION (XNYS:BAC)</v>
    <v>8</v>
    <v>9</v>
    <v>Finance</v>
    <v>5</v>
    <v>en-US</v>
    <v>a1o4sm</v>
    <v>268435456</v>
    <v>1</v>
    <v>Powered by Refinitiv</v>
    <v>65.224999999999994</v>
    <v>46.115000000000002</v>
    <v>1.2067000000000001</v>
    <v>-0.30499999999999999</v>
    <v>-5.2420000000000001E-3</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211000</v>
    <v>New York Stock Exchange</v>
    <v>XNYS</v>
    <v>XNYS</v>
    <v>Bank Of America Corporate Center, 100 N Tryon St, CHARLOTTE, NC, 28255 US</v>
    <v>58.23</v>
    <v>Banking Services</v>
    <v>Stock</v>
    <v>46283.678938703124</v>
    <v>13</v>
    <v>57.52</v>
    <v>404705348375</v>
    <v>BANK OF AMERICA CORPORATION</v>
    <v>BANK OF AMERICA CORPORATION</v>
    <v>57.84</v>
    <v>13.4057</v>
    <v>58.18</v>
    <v>57.875</v>
    <v>6992749000</v>
    <v>BAC</v>
    <v>BANK OF AMERICA CORPORATION (XNYS:BAC)</v>
    <v>14475094</v>
    <v>33305091</v>
    <v>1998</v>
  </rv>
  <rv s="4">
    <v>14</v>
  </rv>
  <rv s="0">
    <v>https://www.bing.com/financeapi/forcetrigger?t=a1yv52&amp;q=XNAS%3aNVDA&amp;form=skydnc</v>
    <v>Learn more on Bing</v>
  </rv>
  <rv s="5">
    <v>7</v>
    <v>NVIDIA CORPORATION (XNAS:NVDA)</v>
    <v>8</v>
    <v>9</v>
    <v>Finance</v>
    <v>5</v>
    <v>en-US</v>
    <v>a1yv52</v>
    <v>268435456</v>
    <v>1</v>
    <v>Powered by Refinitiv</v>
    <v>236.54</v>
    <v>164.27</v>
    <v>2.2210999999999999</v>
    <v>3.5000000000000003E-2</v>
    <v>1.5959999999999998E-4</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220.89</v>
    <v>Semiconductors &amp; Semiconductor Equipment</v>
    <v>Stock</v>
    <v>46283.678950010937</v>
    <v>16</v>
    <v>218.04</v>
    <v>5286937500000</v>
    <v>NVIDIA CORPORATION</v>
    <v>NVIDIA CORPORATION</v>
    <v>219.45</v>
    <v>27.731400000000001</v>
    <v>219.34</v>
    <v>219.375</v>
    <v>24100000000</v>
    <v>NVDA</v>
    <v>NVIDIA CORPORATION (XNAS:NVDA)</v>
    <v>53434432</v>
    <v>122573189</v>
    <v>1998</v>
  </rv>
  <rv s="4">
    <v>17</v>
  </rv>
  <rv s="6">
    <v>10</v>
    <v>GE VERNOVA INC. (XNYS:GEV)</v>
    <v>11</v>
    <v>9</v>
    <v>Finance</v>
    <v>5</v>
    <v>en-US</v>
    <v>ccmvww</v>
    <v>268435456</v>
    <v>1</v>
    <v>Powered by Refinitiv</v>
    <v>1195.94</v>
    <v>530.16</v>
    <v>1.276</v>
    <v>7.07</v>
    <v>7.6439999999999998E-3</v>
    <v>USD</v>
    <v>GE Vernova Inc. is engaged in the electric power industry, with products and services that generate, transfer, orchestrate, convert, and store electricity. It designs, manufactures, delivers, and services technologies to create a sustainable electric power system, enabling electrification and decarbonization. Power segment includes the design, manufacture, and servicing of gas, nuclear, hydro, and steam technologies, providing a critical foundation of dispatchable, flexible, stable, and reliable power. Wind segment includes its wind generation technologies, inclusive of onshore and offshore wind turbines and blades. The electrification segment includes grid solutions, power conversion and storage, and electrification software technologies required for the transmission, distribution, conversion, storage, and orchestration of electricity from point of generation to point of consumption. Its accelerator business includes advanced research, consulting services and financial services.</v>
    <v>75000</v>
    <v>New York Stock Exchange</v>
    <v>XNYS</v>
    <v>XNYS</v>
    <v>58 Charles Street, CAMBRIDGE, MA, 02141 US</v>
    <v>949.5</v>
    <v>Electrical Utilities &amp; IPPs</v>
    <v>Stock</v>
    <v>46283.678921075778</v>
    <v>926.2</v>
    <v>248222915200</v>
    <v>GE VERNOVA INC.</v>
    <v>GE VERNOVA INC.</v>
    <v>934.97</v>
    <v>26.640899999999998</v>
    <v>924.93</v>
    <v>932</v>
    <v>266333600</v>
    <v>GEV</v>
    <v>GE VERNOVA INC. (XNYS:GEV)</v>
    <v>952042</v>
    <v>2150869</v>
    <v>2023</v>
  </rv>
  <rv s="4">
    <v>19</v>
  </rv>
  <rv s="0">
    <v>https://www.bing.com/financeapi/forcetrigger?t=a25lrw&amp;q=ARCX%3aVTI&amp;form=skydnc</v>
    <v>Learn more on Bing</v>
  </rv>
  <rv s="7">
    <v>12</v>
    <v>Vanguard:Morn TSM;ETF (ARCX:VTI)</v>
    <v>13</v>
    <v>14</v>
    <v>Finance</v>
    <v>15</v>
    <v>en-US</v>
    <v>a25lrw</v>
    <v>268435456</v>
    <v>1</v>
    <v>Powered by Refinitiv</v>
    <v>385.11989999999997</v>
    <v>310.399</v>
    <v>1.0042</v>
    <v>-1.125</v>
    <v>-2.9970000000000001E-3</v>
    <v>USD</v>
    <v>NYSE Arca</v>
    <v>ARCX</v>
    <v>2.9999999999999997E-4</v>
    <v>375.94</v>
    <v>ETF</v>
    <v>46283.678925080472</v>
    <v>21</v>
    <v>374.1</v>
    <v>690090486278</v>
    <v>Vanguard:Morn TSM;ETF</v>
    <v>375.79500000000002</v>
    <v>375.34</v>
    <v>374.21499999999997</v>
    <v>VTI</v>
    <v>Vanguard:Morn TSM;ETF (ARCX:VTI)</v>
    <v>1111596</v>
    <v>2913955</v>
  </rv>
  <rv s="4">
    <v>22</v>
  </rv>
  <rv s="6">
    <v>10</v>
    <v>SPACE EXPLORATION TECHNOLOGIES CORP. (XNAS:SPCX)</v>
    <v>11</v>
    <v>9</v>
    <v>Finance</v>
    <v>5</v>
    <v>en-US</v>
    <v>d8uapr</v>
    <v>268435456</v>
    <v>1</v>
    <v>Powered by Refinitiv</v>
    <v>225.64</v>
    <v>104.83</v>
    <v>2.6179999999999999</v>
    <v>-4.0750000000000002</v>
    <v>-2.6322999999999999E-2</v>
    <v>USD</v>
    <v>Space Exploration Technologies Corp. designs, manufactures, launches, and operates products and services built on technologies, including rockets and spacecraft. The Company's segments include Space, Connectivity, and AI. Its Space segment designs, manufactures, and launches reusable rockets to provide access to space. Its Connectivity segment operates broadband data and communications network powered by approximately 10,200 Starlink broadband and mobile satellites in Low-Earth orbit, delivering connectivity to consumer, enterprises, and government customers over 167 countries, territories, and other markets. In its AI (artificial intelligence) segment, it operates a vertically integrated AI platform spanning its truth-seeking frontier model Grok, AI solutions for consumer and enterprise customers, X-its real-time information, entertainment, and free-speech platform and AI computational infrastructure.</v>
    <v>22621</v>
    <v>Nasdaq Stock Market</v>
    <v>XNAS</v>
    <v>XNAS</v>
    <v>1 Rocket Road, Starbase, TX, 78521 US</v>
    <v>156.6</v>
    <v>Telecommunications Services</v>
    <v>Stock</v>
    <v>46283.678931399998</v>
    <v>150.5</v>
    <v>2045899022700</v>
    <v>SPACE EXPLORATION TECHNOLOGIES CORP.</v>
    <v>SPACE EXPLORATION TECHNOLOGIES CORP.</v>
    <v>155.24</v>
    <v>0</v>
    <v>154.81</v>
    <v>150.73500000000001</v>
    <v>13572820000</v>
    <v>SPCX</v>
    <v>SPACE EXPLORATION TECHNOLOGIES CORP. (XNAS:SPCX)</v>
    <v>49992300</v>
    <v>82124692</v>
    <v>2024</v>
  </rv>
  <rv s="4">
    <v>24</v>
  </rv>
  <rv s="0">
    <v>https://www.bing.com/financeapi/forcetrigger?t=a23hqh&amp;q=ARCX%3aSPY&amp;form=skydnc</v>
    <v>Learn more on Bing</v>
  </rv>
  <rv s="7">
    <v>12</v>
    <v>State Street SPDR S&amp;P500 (ARCX:SPY)</v>
    <v>13</v>
    <v>14</v>
    <v>Finance</v>
    <v>15</v>
    <v>en-US</v>
    <v>a23hqh</v>
    <v>268435456</v>
    <v>1</v>
    <v>Powered by Refinitiv</v>
    <v>779.37</v>
    <v>629.28</v>
    <v>0.99880000000000002</v>
    <v>-1.7509999999999999</v>
    <v>-2.3019999999999998E-3</v>
    <v>USD</v>
    <v>NYSE Arca</v>
    <v>ARCX</v>
    <v>9.4499999999999998E-4</v>
    <v>761.76</v>
    <v>ETF</v>
    <v>46283.678929478905</v>
    <v>26</v>
    <v>758.69</v>
    <v>811937033817.45996</v>
    <v>State Street SPDR S&amp;P500</v>
    <v>761.5</v>
    <v>760.71100000000001</v>
    <v>758.96</v>
    <v>SPY</v>
    <v>State Street SPDR S&amp;P500 (ARCX:SPY)</v>
    <v>32525848</v>
    <v>37861002</v>
  </rv>
  <rv s="4">
    <v>27</v>
  </rv>
  <rv s="0">
    <v>https://www.bing.com/financeapi/forcetrigger?t=a1nz8m&amp;q=XNAS%3aAVGO&amp;form=skydnc</v>
    <v>Learn more on Bing</v>
  </rv>
  <rv s="5">
    <v>7</v>
    <v>BROADCOM INC. (XNAS:AVGO)</v>
    <v>8</v>
    <v>9</v>
    <v>Finance</v>
    <v>5</v>
    <v>en-US</v>
    <v>a1nz8m</v>
    <v>268435456</v>
    <v>1</v>
    <v>Powered by Refinitiv</v>
    <v>495</v>
    <v>289.95999999999998</v>
    <v>1.4777</v>
    <v>7.92</v>
    <v>2.2804000000000001E-2</v>
    <v>USD</v>
    <v>Broadcom Inc. is a global technology company. It designs, develops and supplies a broad range of semiconductor and semiconductor-based solutions and infrastructure software solutions. Its segments include Semiconductor solutions and Infrastructure software. Its Semiconductor solutions are used in a range of environments, end products and applications such as enterprise and artificial intelligence (AI) data centers, servers and networking and connectivity equipment, as well as storage systems, home connectivity devices, set-top boxes, broadband access, telecommunication equipment, wireless devices and base stations, factory automation, power generation and alternative energy systems, and electronic displays. Its Infrastructure software solutions help enterprises simplify their information technology (IT) environments. Its customers rely on its infrastructure and security software solutions to modernize, optimize, and secure the complex private cloud, hybrid cloud and edge environments.</v>
    <v>33000</v>
    <v>Nasdaq Stock Market</v>
    <v>XNAS</v>
    <v>XNAS</v>
    <v>3421 Hillview Avenue, PALO ALTO, CA, 94304 US</v>
    <v>363.2817</v>
    <v>Semiconductors &amp; Semiconductor Equipment</v>
    <v>Stock</v>
    <v>46283.678915080469</v>
    <v>29</v>
    <v>351.35</v>
    <v>1695688848600</v>
    <v>BROADCOM INC.</v>
    <v>BROADCOM INC.</v>
    <v>352.92</v>
    <v>45.367699999999999</v>
    <v>347.3</v>
    <v>355.22</v>
    <v>4773630000</v>
    <v>AVGO</v>
    <v>BROADCOM INC. (XNAS:AVGO)</v>
    <v>14246735</v>
    <v>25323127</v>
    <v>2018</v>
  </rv>
  <rv s="4">
    <v>30</v>
  </rv>
</rvData>
</file>

<file path=xl/richData/rdrichvaluestructure.xml><?xml version="1.0" encoding="utf-8"?>
<rvStructures xmlns="http://schemas.microsoft.com/office/spreadsheetml/2017/richdata" count="8">
  <s t="_hyperlink">
    <k n="Address" t="s"/>
    <k n="Text" t="s"/>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rvStructures>
</file>

<file path=xl/richData/rdsupportingpropertybag.xml><?xml version="1.0" encoding="utf-8"?>
<supportingPropertyBags xmlns="http://schemas.microsoft.com/office/spreadsheetml/2017/richdata2">
  <spbArrays count="4">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spbArrays>
  <spbData count="16">
    <spb s="0">
      <v>0</v>
      <v>Name</v>
      <v>LearnMoreOnLink</v>
    </spb>
    <spb s="1">
      <v>0</v>
      <v>0</v>
    </spb>
    <spb s="2">
      <v>0</v>
      <v>0</v>
      <v>0</v>
    </spb>
    <spb s="3">
      <v>1</v>
      <v>2</v>
      <v>2</v>
      <v>2</v>
      <v>2</v>
    </spb>
    <spb s="4">
      <v>1</v>
      <v>2</v>
      <v>2</v>
      <v>1</v>
      <v>3</v>
      <v>1</v>
      <v>4</v>
      <v>1</v>
      <v>1</v>
      <v>5</v>
      <v>5</v>
      <v>6</v>
      <v>7</v>
      <v>1</v>
      <v>1</v>
      <v>1</v>
      <v>5</v>
      <v>8</v>
      <v>9</v>
      <v>10</v>
      <v>5</v>
    </spb>
    <spb s="5">
      <v>Real-Time Nasdaq Last Sale</v>
      <v>from previous close</v>
      <v>from previous close</v>
      <v>Source: Nasdaq Last Sale</v>
      <v>GMT</v>
    </spb>
    <spb s="6">
      <v>Powered by Refinitiv</v>
    </spb>
    <spb s="0">
      <v>1</v>
      <v>Name</v>
      <v>LearnMoreOnLink</v>
    </spb>
    <spb s="7">
      <v>2</v>
      <v>2</v>
      <v>2</v>
      <v>2</v>
    </spb>
    <spb s="8">
      <v>1</v>
      <v>2</v>
      <v>2</v>
      <v>1</v>
      <v>3</v>
      <v>1</v>
      <v>1</v>
      <v>1</v>
      <v>5</v>
      <v>5</v>
      <v>6</v>
      <v>7</v>
      <v>1</v>
      <v>1</v>
      <v>1</v>
      <v>5</v>
      <v>8</v>
      <v>9</v>
      <v>10</v>
      <v>5</v>
    </spb>
    <spb s="9">
      <v>2</v>
      <v>Name</v>
    </spb>
    <spb s="10">
      <v>2</v>
      <v>2</v>
      <v>2</v>
    </spb>
    <spb s="0">
      <v>3</v>
      <v>Name</v>
      <v>LearnMoreOnLink</v>
    </spb>
    <spb s="11">
      <v>2</v>
      <v>2</v>
      <v>2</v>
    </spb>
    <spb s="12">
      <v>1</v>
      <v>2</v>
      <v>1</v>
      <v>3</v>
      <v>1</v>
      <v>1</v>
      <v>1</v>
      <v>5</v>
      <v>6</v>
      <v>7</v>
      <v>1</v>
      <v>1</v>
      <v>6</v>
      <v>1</v>
      <v>5</v>
      <v>8</v>
      <v>10</v>
    </spb>
    <spb s="13">
      <v>Real-Time Nasdaq Last Sale</v>
      <v>from previous close</v>
      <v>Source: Nasdaq Last Sale</v>
      <v>from previous close</v>
      <v>GMT</v>
    </spb>
  </spbData>
</supportingPropertyBags>
</file>

<file path=xl/richData/rdsupportingpropertybagstructure.xml><?xml version="1.0" encoding="utf-8"?>
<spbStructures xmlns="http://schemas.microsoft.com/office/spreadsheetml/2017/richdata2" count="14">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na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E3051-1D4B-2342-848A-149F4D696022}">
  <dimension ref="A1:E15"/>
  <sheetViews>
    <sheetView tabSelected="1" workbookViewId="0">
      <selection activeCell="B27" sqref="B27"/>
    </sheetView>
  </sheetViews>
  <sheetFormatPr baseColWidth="10" defaultRowHeight="16" x14ac:dyDescent="0.2"/>
  <cols>
    <col min="1" max="1" width="13.83203125" customWidth="1"/>
    <col min="4" max="4" width="56.5" customWidth="1"/>
    <col min="5" max="5" width="16.6640625" customWidth="1"/>
  </cols>
  <sheetData>
    <row r="1" spans="1:5" x14ac:dyDescent="0.2">
      <c r="A1" s="5" t="s">
        <v>15</v>
      </c>
      <c r="B1" s="5"/>
      <c r="D1" t="s">
        <v>12</v>
      </c>
      <c r="E1" s="2">
        <v>100000</v>
      </c>
    </row>
    <row r="2" spans="1:5" x14ac:dyDescent="0.2">
      <c r="D2" t="s">
        <v>13</v>
      </c>
      <c r="E2" s="3">
        <f>COUNTA(A6:A15)</f>
        <v>10</v>
      </c>
    </row>
    <row r="3" spans="1:5" x14ac:dyDescent="0.2">
      <c r="D3" t="s">
        <v>14</v>
      </c>
      <c r="E3" s="2">
        <f>E1/E2</f>
        <v>10000</v>
      </c>
    </row>
    <row r="4" spans="1:5" x14ac:dyDescent="0.2">
      <c r="E4" s="3"/>
    </row>
    <row r="5" spans="1:5" ht="15" customHeight="1" x14ac:dyDescent="0.2">
      <c r="A5" t="s">
        <v>0</v>
      </c>
      <c r="B5" t="s">
        <v>1</v>
      </c>
      <c r="D5" t="s">
        <v>0</v>
      </c>
    </row>
    <row r="6" spans="1:5" x14ac:dyDescent="0.2">
      <c r="A6" t="s">
        <v>2</v>
      </c>
      <c r="B6" s="4">
        <f ca="1">ROUNDDOWN(($E$3/E6),0)</f>
        <v>20</v>
      </c>
      <c r="C6" s="4"/>
      <c r="D6" t="e" vm="1">
        <v>#VALUE!</v>
      </c>
      <c r="E6" s="1" cm="1">
        <f t="array" aca="1" ref="E6" ca="1">_FV(D6,"Price")</f>
        <v>493.51</v>
      </c>
    </row>
    <row r="7" spans="1:5" x14ac:dyDescent="0.2">
      <c r="A7" t="s">
        <v>3</v>
      </c>
      <c r="B7" s="4">
        <f ca="1">ROUNDDOWN(($E$3/E7),0)</f>
        <v>93</v>
      </c>
      <c r="C7" s="4"/>
      <c r="D7" t="e" vm="2">
        <v>#VALUE!</v>
      </c>
      <c r="E7" s="1" cm="1">
        <f t="array" aca="1" ref="E7" ca="1">_FV(D7,"Price")</f>
        <v>107.50749999999999</v>
      </c>
    </row>
    <row r="8" spans="1:5" x14ac:dyDescent="0.2">
      <c r="A8" t="s">
        <v>4</v>
      </c>
      <c r="B8" s="4">
        <f ca="1">ROUNDDOWN(($E$3/E8),0)</f>
        <v>29</v>
      </c>
      <c r="C8" s="4"/>
      <c r="D8" t="e" vm="3">
        <v>#VALUE!</v>
      </c>
      <c r="E8" s="1" cm="1">
        <f t="array" aca="1" ref="E8" ca="1">_FV(D8,"Price")</f>
        <v>334.65</v>
      </c>
    </row>
    <row r="9" spans="1:5" x14ac:dyDescent="0.2">
      <c r="A9" t="s">
        <v>5</v>
      </c>
      <c r="B9" s="4">
        <f ca="1">ROUNDDOWN(($E$3/E9),0)</f>
        <v>172</v>
      </c>
      <c r="C9" s="4"/>
      <c r="D9" t="e" vm="4">
        <v>#VALUE!</v>
      </c>
      <c r="E9" s="1" cm="1">
        <f t="array" aca="1" ref="E9" ca="1">_FV(D9,"Price")</f>
        <v>57.875</v>
      </c>
    </row>
    <row r="10" spans="1:5" x14ac:dyDescent="0.2">
      <c r="A10" t="s">
        <v>6</v>
      </c>
      <c r="B10" s="4">
        <f ca="1">ROUNDDOWN(($E$3/E10),0)</f>
        <v>45</v>
      </c>
      <c r="C10" s="4"/>
      <c r="D10" t="e" vm="5">
        <v>#VALUE!</v>
      </c>
      <c r="E10" s="1" cm="1">
        <f t="array" aca="1" ref="E10" ca="1">_FV(D10,"Price")</f>
        <v>219.375</v>
      </c>
    </row>
    <row r="11" spans="1:5" x14ac:dyDescent="0.2">
      <c r="A11" t="s">
        <v>7</v>
      </c>
      <c r="B11" s="4">
        <f ca="1">ROUNDDOWN(($E$3/E11),0)</f>
        <v>10</v>
      </c>
      <c r="C11" s="4"/>
      <c r="D11" t="e" vm="6">
        <v>#VALUE!</v>
      </c>
      <c r="E11" s="1" cm="1">
        <f t="array" aca="1" ref="E11" ca="1">_FV(D11,"Price")</f>
        <v>932</v>
      </c>
    </row>
    <row r="12" spans="1:5" x14ac:dyDescent="0.2">
      <c r="A12" t="s">
        <v>8</v>
      </c>
      <c r="B12" s="4">
        <f ca="1">ROUNDDOWN(($E$3/E12),0)</f>
        <v>26</v>
      </c>
      <c r="C12" s="4"/>
      <c r="D12" t="e" vm="7">
        <v>#VALUE!</v>
      </c>
      <c r="E12" s="1" cm="1">
        <f t="array" aca="1" ref="E12" ca="1">_FV(D12,"Price")</f>
        <v>374.21499999999997</v>
      </c>
    </row>
    <row r="13" spans="1:5" x14ac:dyDescent="0.2">
      <c r="A13" t="s">
        <v>11</v>
      </c>
      <c r="B13" s="4">
        <f ca="1">ROUNDDOWN(($E$3/E13),0)</f>
        <v>66</v>
      </c>
      <c r="C13" s="4"/>
      <c r="D13" t="e" vm="8">
        <v>#VALUE!</v>
      </c>
      <c r="E13" s="1" cm="1">
        <f t="array" aca="1" ref="E13" ca="1">_FV(D13,"Price")</f>
        <v>150.73500000000001</v>
      </c>
    </row>
    <row r="14" spans="1:5" x14ac:dyDescent="0.2">
      <c r="A14" t="s">
        <v>9</v>
      </c>
      <c r="B14" s="4">
        <f ca="1">ROUNDDOWN(($E$3/E14),0)</f>
        <v>13</v>
      </c>
      <c r="C14" s="4"/>
      <c r="D14" t="e" vm="9">
        <v>#VALUE!</v>
      </c>
      <c r="E14" s="1" cm="1">
        <f t="array" aca="1" ref="E14" ca="1">_FV(D14,"Price")</f>
        <v>758.96</v>
      </c>
    </row>
    <row r="15" spans="1:5" x14ac:dyDescent="0.2">
      <c r="A15" t="s">
        <v>10</v>
      </c>
      <c r="B15" s="4">
        <f ca="1">ROUNDDOWN(($E$3/E15),0)</f>
        <v>28</v>
      </c>
      <c r="C15" s="4"/>
      <c r="D15" t="e" vm="10">
        <v>#VALUE!</v>
      </c>
      <c r="E15" s="1" cm="1">
        <f t="array" aca="1" ref="E15" ca="1">_FV(D15,"Price")</f>
        <v>355.22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9C992-83BB-3441-9757-3E06D1DE6D5A}">
  <dimension ref="A1:B10"/>
  <sheetViews>
    <sheetView workbookViewId="0">
      <selection activeCell="F16" sqref="F16"/>
    </sheetView>
  </sheetViews>
  <sheetFormatPr baseColWidth="10" defaultRowHeight="16" x14ac:dyDescent="0.2"/>
  <sheetData>
    <row r="1" spans="1:2" x14ac:dyDescent="0.2">
      <c r="A1" t="str">
        <f>'Portfolio Allocation'!A6</f>
        <v>MSFT</v>
      </c>
      <c r="B1">
        <f ca="1">'Portfolio Allocation'!B6</f>
        <v>20</v>
      </c>
    </row>
    <row r="2" spans="1:2" x14ac:dyDescent="0.2">
      <c r="A2" t="str">
        <f>'Portfolio Allocation'!A7</f>
        <v>WMT</v>
      </c>
      <c r="B2">
        <f ca="1">'Portfolio Allocation'!B7</f>
        <v>93</v>
      </c>
    </row>
    <row r="3" spans="1:2" x14ac:dyDescent="0.2">
      <c r="A3" t="str">
        <f>'Portfolio Allocation'!A8</f>
        <v>AAPL</v>
      </c>
      <c r="B3">
        <f ca="1">'Portfolio Allocation'!B8</f>
        <v>29</v>
      </c>
    </row>
    <row r="4" spans="1:2" x14ac:dyDescent="0.2">
      <c r="A4" t="str">
        <f>'Portfolio Allocation'!A9</f>
        <v>BAC</v>
      </c>
      <c r="B4">
        <f ca="1">'Portfolio Allocation'!B9</f>
        <v>172</v>
      </c>
    </row>
    <row r="5" spans="1:2" x14ac:dyDescent="0.2">
      <c r="A5" t="str">
        <f>'Portfolio Allocation'!A10</f>
        <v>NVDA</v>
      </c>
      <c r="B5">
        <f ca="1">'Portfolio Allocation'!B10</f>
        <v>45</v>
      </c>
    </row>
    <row r="6" spans="1:2" x14ac:dyDescent="0.2">
      <c r="A6" t="str">
        <f>'Portfolio Allocation'!A11</f>
        <v>GEV</v>
      </c>
      <c r="B6">
        <f ca="1">'Portfolio Allocation'!B11</f>
        <v>10</v>
      </c>
    </row>
    <row r="7" spans="1:2" x14ac:dyDescent="0.2">
      <c r="A7" t="str">
        <f>'Portfolio Allocation'!A12</f>
        <v>VTI</v>
      </c>
      <c r="B7">
        <f ca="1">'Portfolio Allocation'!B12</f>
        <v>26</v>
      </c>
    </row>
    <row r="8" spans="1:2" x14ac:dyDescent="0.2">
      <c r="A8" t="str">
        <f>'Portfolio Allocation'!A13</f>
        <v>SPCX</v>
      </c>
      <c r="B8">
        <f ca="1">'Portfolio Allocation'!B13</f>
        <v>66</v>
      </c>
    </row>
    <row r="9" spans="1:2" x14ac:dyDescent="0.2">
      <c r="A9" t="str">
        <f>'Portfolio Allocation'!A14</f>
        <v>SPY</v>
      </c>
      <c r="B9">
        <f ca="1">'Portfolio Allocation'!B14</f>
        <v>13</v>
      </c>
    </row>
    <row r="10" spans="1:2" x14ac:dyDescent="0.2">
      <c r="A10" t="str">
        <f>'Portfolio Allocation'!A15</f>
        <v>AVGO</v>
      </c>
      <c r="B10">
        <f ca="1">'Portfolio Allocation'!B15</f>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Portfolio Allocation</vt:lpstr>
      <vt:lpstr>FactSet 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Evitts</dc:creator>
  <cp:lastModifiedBy>Bethany Evitts</cp:lastModifiedBy>
  <dcterms:created xsi:type="dcterms:W3CDTF">2026-09-18T14:40:50Z</dcterms:created>
  <dcterms:modified xsi:type="dcterms:W3CDTF">2026-09-18T16:18:37Z</dcterms:modified>
</cp:coreProperties>
</file>